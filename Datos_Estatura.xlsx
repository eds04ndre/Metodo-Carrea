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cuments\Edson\Servicio Social\"/>
    </mc:Choice>
  </mc:AlternateContent>
  <xr:revisionPtr revIDLastSave="0" documentId="13_ncr:1_{B73520B4-0BD0-47E5-9036-CB3403932C5F}" xr6:coauthVersionLast="47" xr6:coauthVersionMax="47" xr10:uidLastSave="{00000000-0000-0000-0000-000000000000}"/>
  <bookViews>
    <workbookView xWindow="384" yWindow="384" windowWidth="17280" windowHeight="8880" activeTab="1" xr2:uid="{AA706640-35F5-F74C-BC9C-57AD17C33A0F}"/>
  </bookViews>
  <sheets>
    <sheet name="Hoja1" sheetId="1" r:id="rId1"/>
    <sheet name="Hoja2" sheetId="2" r:id="rId2"/>
  </sheets>
  <definedNames>
    <definedName name="_xlnm._FilterDatabase" localSheetId="0" hidden="1">Hoja1!$E$1:$E$14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3" i="2" l="1"/>
  <c r="AH3" i="2"/>
  <c r="AG4" i="2"/>
  <c r="AH4" i="2"/>
  <c r="AG5" i="2"/>
  <c r="AH5" i="2"/>
  <c r="AG6" i="2"/>
  <c r="AH6" i="2"/>
  <c r="AG7" i="2"/>
  <c r="AH7" i="2"/>
  <c r="AG8" i="2"/>
  <c r="AH8" i="2"/>
  <c r="AG9" i="2"/>
  <c r="AH9" i="2"/>
  <c r="AG10" i="2"/>
  <c r="AH10" i="2"/>
  <c r="AG11" i="2"/>
  <c r="AH11" i="2"/>
  <c r="AG12" i="2"/>
  <c r="AH12" i="2"/>
  <c r="AG13" i="2"/>
  <c r="AH13" i="2"/>
  <c r="AG14" i="2"/>
  <c r="AH14" i="2"/>
  <c r="AH2" i="2"/>
  <c r="AH1" i="2"/>
  <c r="AG2" i="2"/>
  <c r="AG1" i="2"/>
</calcChain>
</file>

<file path=xl/sharedStrings.xml><?xml version="1.0" encoding="utf-8"?>
<sst xmlns="http://schemas.openxmlformats.org/spreadsheetml/2006/main" count="63" uniqueCount="40">
  <si>
    <t>F</t>
  </si>
  <si>
    <t>Estado de México</t>
  </si>
  <si>
    <t>M</t>
  </si>
  <si>
    <t>Ciudad de México</t>
  </si>
  <si>
    <t>ID</t>
  </si>
  <si>
    <t>Edad</t>
  </si>
  <si>
    <t>Sexo</t>
  </si>
  <si>
    <t>Estatura</t>
  </si>
  <si>
    <t xml:space="preserve">Lugar_Origen </t>
  </si>
  <si>
    <t>mean_mm_11</t>
  </si>
  <si>
    <t>mean_mm_12</t>
  </si>
  <si>
    <t>mean_mm_13</t>
  </si>
  <si>
    <t>mean_mm_21</t>
  </si>
  <si>
    <t>mean_mm_22</t>
  </si>
  <si>
    <t>mean_mm_23</t>
  </si>
  <si>
    <t>mean_mm_13_11</t>
  </si>
  <si>
    <t>mean_mm_23_21</t>
  </si>
  <si>
    <t>mean_mm_13_23</t>
  </si>
  <si>
    <t>mean_mm_41</t>
  </si>
  <si>
    <t>mean_mm_42</t>
  </si>
  <si>
    <t>mean_mm_43</t>
  </si>
  <si>
    <t>mean_mm_31</t>
  </si>
  <si>
    <t>mean_mm_32</t>
  </si>
  <si>
    <t>mean_mm_33</t>
  </si>
  <si>
    <t>mean_mm_43_41</t>
  </si>
  <si>
    <t>mean_mm_33_31</t>
  </si>
  <si>
    <t>mean_mm_43_33</t>
  </si>
  <si>
    <t>arco13_11</t>
  </si>
  <si>
    <t>arco23_21</t>
  </si>
  <si>
    <t>arco33_31</t>
  </si>
  <si>
    <t>arco43_41</t>
  </si>
  <si>
    <t>T_Min13_11</t>
  </si>
  <si>
    <t>T_Max13_11</t>
  </si>
  <si>
    <t>T_Min23_21</t>
  </si>
  <si>
    <t>T_Max23_21</t>
  </si>
  <si>
    <t>T_Min33_31</t>
  </si>
  <si>
    <t>T_Max33_31</t>
  </si>
  <si>
    <t>T_Min43_41</t>
  </si>
  <si>
    <t>T_Max43_41</t>
  </si>
  <si>
    <t>Showing 1 to 12 of 13 entries, 31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</si>
</sst>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0E0C-9956-5940-9C22-C9D8AACBDF03}">
  <dimension ref="A1:E14"/>
  <sheetViews>
    <sheetView workbookViewId="0">
      <selection activeCell="C11" sqref="C11"/>
    </sheetView>
  </sheetViews>
  <sheetFormatPr baseColWidth="10" defaultRowHeight="15"/>
  <cols>
    <col min="4" max="5" width="18" bestFit="1" customWidth="1"/>
  </cols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2">
        <v>3</v>
      </c>
      <c r="B2" s="2">
        <v>25</v>
      </c>
      <c r="C2" s="2" t="s">
        <v>0</v>
      </c>
      <c r="D2" s="2">
        <v>1.67</v>
      </c>
      <c r="E2" s="2" t="s">
        <v>3</v>
      </c>
    </row>
    <row r="3" spans="1:5">
      <c r="A3" s="2">
        <v>14</v>
      </c>
      <c r="B3" s="2">
        <v>20</v>
      </c>
      <c r="C3" s="2" t="s">
        <v>0</v>
      </c>
      <c r="D3" s="2">
        <v>1.5</v>
      </c>
      <c r="E3" s="2" t="s">
        <v>1</v>
      </c>
    </row>
    <row r="4" spans="1:5">
      <c r="A4" s="2">
        <v>18</v>
      </c>
      <c r="B4" s="2">
        <v>21</v>
      </c>
      <c r="C4" s="2" t="s">
        <v>2</v>
      </c>
      <c r="D4" s="2">
        <v>1.61</v>
      </c>
      <c r="E4" s="2" t="s">
        <v>1</v>
      </c>
    </row>
    <row r="5" spans="1:5">
      <c r="A5" s="2">
        <v>27</v>
      </c>
      <c r="B5" s="2">
        <v>30</v>
      </c>
      <c r="C5" s="2" t="s">
        <v>0</v>
      </c>
      <c r="D5" s="2">
        <v>1.57</v>
      </c>
      <c r="E5" s="2" t="s">
        <v>3</v>
      </c>
    </row>
    <row r="6" spans="1:5">
      <c r="A6" s="2">
        <v>50</v>
      </c>
      <c r="B6" s="2">
        <v>42</v>
      </c>
      <c r="C6" s="2" t="s">
        <v>0</v>
      </c>
      <c r="D6" s="2">
        <v>1.68</v>
      </c>
      <c r="E6" s="2" t="s">
        <v>3</v>
      </c>
    </row>
    <row r="7" spans="1:5">
      <c r="A7" s="2">
        <v>55</v>
      </c>
      <c r="B7" s="2">
        <v>20</v>
      </c>
      <c r="C7" s="2" t="s">
        <v>0</v>
      </c>
      <c r="D7" s="2">
        <v>1.55</v>
      </c>
      <c r="E7" s="2" t="s">
        <v>3</v>
      </c>
    </row>
    <row r="8" spans="1:5">
      <c r="A8" s="2">
        <v>60</v>
      </c>
      <c r="B8" s="2">
        <v>20</v>
      </c>
      <c r="C8" s="2" t="s">
        <v>0</v>
      </c>
      <c r="D8" s="2">
        <v>1.59</v>
      </c>
      <c r="E8" s="2" t="s">
        <v>3</v>
      </c>
    </row>
    <row r="9" spans="1:5">
      <c r="A9" s="2">
        <v>71</v>
      </c>
      <c r="B9" s="2">
        <v>19</v>
      </c>
      <c r="C9" s="2" t="s">
        <v>0</v>
      </c>
      <c r="D9" s="2">
        <v>1.52</v>
      </c>
      <c r="E9" s="2" t="s">
        <v>3</v>
      </c>
    </row>
    <row r="10" spans="1:5">
      <c r="A10" s="2">
        <v>76</v>
      </c>
      <c r="B10" s="2">
        <v>56</v>
      </c>
      <c r="C10" s="2" t="s">
        <v>0</v>
      </c>
      <c r="D10" s="2">
        <v>1.56</v>
      </c>
      <c r="E10" s="2" t="s">
        <v>3</v>
      </c>
    </row>
    <row r="11" spans="1:5">
      <c r="A11" s="2">
        <v>79</v>
      </c>
      <c r="B11" s="2">
        <v>19</v>
      </c>
      <c r="C11" s="2" t="s">
        <v>2</v>
      </c>
      <c r="D11" s="2">
        <v>1.63</v>
      </c>
      <c r="E11" s="2" t="s">
        <v>1</v>
      </c>
    </row>
    <row r="12" spans="1:5">
      <c r="A12" s="2">
        <v>95</v>
      </c>
      <c r="B12" s="2">
        <v>19</v>
      </c>
      <c r="C12" s="2" t="s">
        <v>0</v>
      </c>
      <c r="D12" s="2">
        <v>1.67</v>
      </c>
      <c r="E12" s="2" t="s">
        <v>3</v>
      </c>
    </row>
    <row r="13" spans="1:5">
      <c r="A13" s="2">
        <v>116</v>
      </c>
      <c r="B13" s="2">
        <v>22</v>
      </c>
      <c r="C13" s="2" t="s">
        <v>2</v>
      </c>
      <c r="D13" s="2">
        <v>1.71</v>
      </c>
      <c r="E13" s="2" t="s">
        <v>3</v>
      </c>
    </row>
    <row r="14" spans="1:5">
      <c r="A14" s="2">
        <v>130</v>
      </c>
      <c r="B14" s="2">
        <v>44</v>
      </c>
      <c r="C14" s="2" t="s">
        <v>0</v>
      </c>
      <c r="D14" s="2">
        <v>1.71</v>
      </c>
      <c r="E14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5991-F30F-4FCF-B599-AEFDA69E2802}">
  <dimension ref="A1:AH15"/>
  <sheetViews>
    <sheetView tabSelected="1" topLeftCell="AB1" workbookViewId="0">
      <selection activeCell="AE2" sqref="AE2:AF14"/>
    </sheetView>
  </sheetViews>
  <sheetFormatPr baseColWidth="10" defaultRowHeight="15"/>
  <cols>
    <col min="13" max="13" width="12.08984375" bestFit="1" customWidth="1"/>
  </cols>
  <sheetData>
    <row r="1" spans="1:34">
      <c r="B1" t="s">
        <v>4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tr">
        <f>Y1</f>
        <v>T_Min13_11</v>
      </c>
      <c r="AH1" t="str">
        <f>Z1</f>
        <v>T_Max13_11</v>
      </c>
    </row>
    <row r="2" spans="1:34">
      <c r="A2">
        <v>1</v>
      </c>
      <c r="B2">
        <v>3</v>
      </c>
      <c r="C2">
        <v>8.8249999999999993</v>
      </c>
      <c r="D2">
        <v>6.45</v>
      </c>
      <c r="E2">
        <v>7.7949999999999999</v>
      </c>
      <c r="F2">
        <v>8.33</v>
      </c>
      <c r="G2">
        <v>6.6050000000000004</v>
      </c>
      <c r="H2">
        <v>6.88</v>
      </c>
      <c r="I2">
        <v>22.79</v>
      </c>
      <c r="J2">
        <v>22.465</v>
      </c>
      <c r="K2">
        <v>38.134999999999998</v>
      </c>
      <c r="L2">
        <v>5.375</v>
      </c>
      <c r="M2">
        <v>5.84</v>
      </c>
      <c r="N2">
        <v>6.25</v>
      </c>
      <c r="O2">
        <v>4.8250000000000002</v>
      </c>
      <c r="P2">
        <v>5.5949999999999998</v>
      </c>
      <c r="Q2">
        <v>6.2450000000000001</v>
      </c>
      <c r="R2">
        <v>17.195</v>
      </c>
      <c r="S2">
        <v>16.864999999999998</v>
      </c>
      <c r="T2">
        <v>27.245000000000001</v>
      </c>
      <c r="U2">
        <v>23.07</v>
      </c>
      <c r="V2">
        <v>21.815000000000001</v>
      </c>
      <c r="W2">
        <v>16.664999999999999</v>
      </c>
      <c r="X2">
        <v>17.465</v>
      </c>
      <c r="Y2">
        <v>2147.9119999999998</v>
      </c>
      <c r="Z2">
        <v>2174.3009999999999</v>
      </c>
      <c r="AA2">
        <v>2117.2809999999999</v>
      </c>
      <c r="AB2">
        <v>2056.02</v>
      </c>
      <c r="AC2">
        <v>1589.4929999999999</v>
      </c>
      <c r="AD2">
        <v>1570.643</v>
      </c>
      <c r="AE2">
        <v>1620.5940000000001</v>
      </c>
      <c r="AF2">
        <v>1646.0409999999999</v>
      </c>
      <c r="AG2">
        <f>Y2/1000</f>
        <v>2.1479119999999998</v>
      </c>
      <c r="AH2">
        <f>Z2/1000</f>
        <v>2.1743009999999998</v>
      </c>
    </row>
    <row r="3" spans="1:34">
      <c r="A3">
        <v>2</v>
      </c>
      <c r="B3">
        <v>14</v>
      </c>
      <c r="C3">
        <v>8.14</v>
      </c>
      <c r="D3">
        <v>7.35</v>
      </c>
      <c r="E3">
        <v>8.2799999999999994</v>
      </c>
      <c r="F3">
        <v>8.5850000000000009</v>
      </c>
      <c r="G3">
        <v>6.5350000000000001</v>
      </c>
      <c r="H3">
        <v>8.39</v>
      </c>
      <c r="I3">
        <v>22.92</v>
      </c>
      <c r="J3">
        <v>23.05</v>
      </c>
      <c r="K3">
        <v>36.755000000000003</v>
      </c>
      <c r="L3">
        <v>5.41</v>
      </c>
      <c r="M3">
        <v>6.29</v>
      </c>
      <c r="N3">
        <v>7.0549999999999997</v>
      </c>
      <c r="O3">
        <v>5.6550000000000002</v>
      </c>
      <c r="P3">
        <v>6.54</v>
      </c>
      <c r="Q3">
        <v>6.5149999999999997</v>
      </c>
      <c r="R3">
        <v>18.25</v>
      </c>
      <c r="S3">
        <v>19.105</v>
      </c>
      <c r="T3">
        <v>30.11</v>
      </c>
      <c r="U3">
        <v>23.77</v>
      </c>
      <c r="V3">
        <v>23.51</v>
      </c>
      <c r="W3">
        <v>18.71</v>
      </c>
      <c r="X3">
        <v>18.754999999999999</v>
      </c>
      <c r="Y3">
        <v>2160.1640000000002</v>
      </c>
      <c r="Z3">
        <v>2240.2750000000001</v>
      </c>
      <c r="AA3">
        <v>2172.4160000000002</v>
      </c>
      <c r="AB3">
        <v>2215.77</v>
      </c>
      <c r="AC3">
        <v>1800.6079999999999</v>
      </c>
      <c r="AD3">
        <v>1763.38</v>
      </c>
      <c r="AE3">
        <v>1720.0260000000001</v>
      </c>
      <c r="AF3">
        <v>1767.6210000000001</v>
      </c>
      <c r="AG3">
        <f t="shared" ref="AG3:AG14" si="0">Y3/1000</f>
        <v>2.1601640000000004</v>
      </c>
      <c r="AH3">
        <f t="shared" ref="AH3:AH14" si="1">Z3/1000</f>
        <v>2.240275</v>
      </c>
    </row>
    <row r="4" spans="1:34">
      <c r="A4">
        <v>3</v>
      </c>
      <c r="B4">
        <v>18</v>
      </c>
      <c r="C4">
        <v>9.1549999999999994</v>
      </c>
      <c r="D4">
        <v>6.7050000000000001</v>
      </c>
      <c r="E4">
        <v>8.0150000000000006</v>
      </c>
      <c r="F4">
        <v>9.1850000000000005</v>
      </c>
      <c r="G4">
        <v>6.48</v>
      </c>
      <c r="H4">
        <v>7.9</v>
      </c>
      <c r="I4">
        <v>22.8</v>
      </c>
      <c r="J4">
        <v>23.71</v>
      </c>
      <c r="K4">
        <v>36.935000000000002</v>
      </c>
      <c r="L4">
        <v>5.8250000000000002</v>
      </c>
      <c r="M4">
        <v>5.84</v>
      </c>
      <c r="N4">
        <v>6.9550000000000001</v>
      </c>
      <c r="O4">
        <v>5.6</v>
      </c>
      <c r="P4">
        <v>5.8949999999999996</v>
      </c>
      <c r="Q4">
        <v>7.1349999999999998</v>
      </c>
      <c r="R4">
        <v>18.73</v>
      </c>
      <c r="S4">
        <v>17.885000000000002</v>
      </c>
      <c r="T4">
        <v>29.38</v>
      </c>
      <c r="U4">
        <v>23.875</v>
      </c>
      <c r="V4">
        <v>23.565000000000001</v>
      </c>
      <c r="W4">
        <v>18.63</v>
      </c>
      <c r="X4">
        <v>18.62</v>
      </c>
      <c r="Y4">
        <v>2148.8539999999998</v>
      </c>
      <c r="Z4">
        <v>2250.1709999999998</v>
      </c>
      <c r="AA4">
        <v>2234.62</v>
      </c>
      <c r="AB4">
        <v>2220.9540000000002</v>
      </c>
      <c r="AC4">
        <v>1685.625</v>
      </c>
      <c r="AD4">
        <v>1755.84</v>
      </c>
      <c r="AE4">
        <v>1765.2650000000001</v>
      </c>
      <c r="AF4">
        <v>1754.8979999999999</v>
      </c>
      <c r="AG4">
        <f t="shared" si="0"/>
        <v>2.1488539999999996</v>
      </c>
      <c r="AH4">
        <f t="shared" si="1"/>
        <v>2.2501709999999999</v>
      </c>
    </row>
    <row r="5" spans="1:34">
      <c r="A5">
        <v>4</v>
      </c>
      <c r="B5">
        <v>27</v>
      </c>
      <c r="C5">
        <v>9.5250000000000004</v>
      </c>
      <c r="D5">
        <v>6.625</v>
      </c>
      <c r="E5">
        <v>7.3550000000000004</v>
      </c>
      <c r="F5">
        <v>9.0500000000000007</v>
      </c>
      <c r="G5">
        <v>6.8</v>
      </c>
      <c r="H5">
        <v>7.53</v>
      </c>
      <c r="I5">
        <v>24.135000000000002</v>
      </c>
      <c r="J5">
        <v>23.035</v>
      </c>
      <c r="K5">
        <v>36.93</v>
      </c>
      <c r="L5">
        <v>5.7249999999999996</v>
      </c>
      <c r="M5">
        <v>6.3</v>
      </c>
      <c r="N5">
        <v>6.6150000000000002</v>
      </c>
      <c r="O5">
        <v>5.7450000000000001</v>
      </c>
      <c r="P5">
        <v>6.16</v>
      </c>
      <c r="Q5">
        <v>6.44</v>
      </c>
      <c r="R5">
        <v>17.739999999999998</v>
      </c>
      <c r="S5">
        <v>18.094999999999999</v>
      </c>
      <c r="T5">
        <v>27.97</v>
      </c>
      <c r="U5">
        <v>23.504999999999999</v>
      </c>
      <c r="V5">
        <v>23.38</v>
      </c>
      <c r="W5">
        <v>18.344999999999999</v>
      </c>
      <c r="X5">
        <v>18.64</v>
      </c>
      <c r="Y5">
        <v>2274.6750000000002</v>
      </c>
      <c r="Z5">
        <v>2215.299</v>
      </c>
      <c r="AA5">
        <v>2171.0030000000002</v>
      </c>
      <c r="AB5">
        <v>2203.518</v>
      </c>
      <c r="AC5">
        <v>1705.4179999999999</v>
      </c>
      <c r="AD5">
        <v>1728.98</v>
      </c>
      <c r="AE5">
        <v>1671.96</v>
      </c>
      <c r="AF5">
        <v>1756.7829999999999</v>
      </c>
      <c r="AG5">
        <f t="shared" si="0"/>
        <v>2.2746750000000002</v>
      </c>
      <c r="AH5">
        <f t="shared" si="1"/>
        <v>2.2152989999999999</v>
      </c>
    </row>
    <row r="6" spans="1:34">
      <c r="A6">
        <v>5</v>
      </c>
      <c r="B6">
        <v>50</v>
      </c>
      <c r="C6">
        <v>9.34</v>
      </c>
      <c r="D6">
        <v>7.0650000000000004</v>
      </c>
      <c r="E6">
        <v>7.8150000000000004</v>
      </c>
      <c r="F6">
        <v>9.34</v>
      </c>
      <c r="G6">
        <v>7.45</v>
      </c>
      <c r="H6">
        <v>7.81</v>
      </c>
      <c r="I6">
        <v>24.22</v>
      </c>
      <c r="J6">
        <v>25.14</v>
      </c>
      <c r="K6">
        <v>39.86</v>
      </c>
      <c r="L6">
        <v>5.56</v>
      </c>
      <c r="M6">
        <v>6.2350000000000003</v>
      </c>
      <c r="N6">
        <v>7.0750000000000002</v>
      </c>
      <c r="O6">
        <v>5.83</v>
      </c>
      <c r="P6">
        <v>6.41</v>
      </c>
      <c r="Q6">
        <v>7.5750000000000002</v>
      </c>
      <c r="R6">
        <v>18.074999999999999</v>
      </c>
      <c r="S6">
        <v>18.739999999999998</v>
      </c>
      <c r="T6">
        <v>31.274999999999999</v>
      </c>
      <c r="U6">
        <v>24.22</v>
      </c>
      <c r="V6">
        <v>24.6</v>
      </c>
      <c r="W6">
        <v>19.815000000000001</v>
      </c>
      <c r="X6">
        <v>18.87</v>
      </c>
      <c r="Y6">
        <v>2282.6869999999999</v>
      </c>
      <c r="Z6">
        <v>2282.6869999999999</v>
      </c>
      <c r="AA6">
        <v>2369.395</v>
      </c>
      <c r="AB6">
        <v>2318.5010000000002</v>
      </c>
      <c r="AC6">
        <v>1766.2080000000001</v>
      </c>
      <c r="AD6">
        <v>1867.5239999999999</v>
      </c>
      <c r="AE6">
        <v>1703.5329999999999</v>
      </c>
      <c r="AF6">
        <v>1778.46</v>
      </c>
      <c r="AG6">
        <f t="shared" si="0"/>
        <v>2.2826869999999997</v>
      </c>
      <c r="AH6">
        <f t="shared" si="1"/>
        <v>2.2826869999999997</v>
      </c>
    </row>
    <row r="7" spans="1:34">
      <c r="A7">
        <v>6</v>
      </c>
      <c r="B7">
        <v>55</v>
      </c>
      <c r="C7">
        <v>7.94</v>
      </c>
      <c r="D7">
        <v>5.585</v>
      </c>
      <c r="E7">
        <v>7.8</v>
      </c>
      <c r="F7">
        <v>8.8849999999999998</v>
      </c>
      <c r="G7">
        <v>5.8449999999999998</v>
      </c>
      <c r="H7">
        <v>7.79</v>
      </c>
      <c r="I7">
        <v>21.8</v>
      </c>
      <c r="J7">
        <v>21.914999999999999</v>
      </c>
      <c r="K7">
        <v>33.994999999999997</v>
      </c>
      <c r="L7">
        <v>5.03</v>
      </c>
      <c r="M7">
        <v>5.5449999999999999</v>
      </c>
      <c r="N7">
        <v>6.0449999999999999</v>
      </c>
      <c r="O7">
        <v>5.0449999999999999</v>
      </c>
      <c r="P7">
        <v>5.34</v>
      </c>
      <c r="Q7">
        <v>6.0149999999999997</v>
      </c>
      <c r="R7">
        <v>16.774999999999999</v>
      </c>
      <c r="S7">
        <v>17.260000000000002</v>
      </c>
      <c r="T7">
        <v>27.43</v>
      </c>
      <c r="U7">
        <v>21.324999999999999</v>
      </c>
      <c r="V7">
        <v>22.52</v>
      </c>
      <c r="W7">
        <v>16.399999999999999</v>
      </c>
      <c r="X7">
        <v>16.62</v>
      </c>
      <c r="Y7">
        <v>2054.6060000000002</v>
      </c>
      <c r="Z7">
        <v>2009.8389999999999</v>
      </c>
      <c r="AA7">
        <v>2065.4450000000002</v>
      </c>
      <c r="AB7">
        <v>2122.4650000000001</v>
      </c>
      <c r="AC7">
        <v>1626.72</v>
      </c>
      <c r="AD7">
        <v>1545.6669999999999</v>
      </c>
      <c r="AE7">
        <v>1581.01</v>
      </c>
      <c r="AF7">
        <v>1566.402</v>
      </c>
      <c r="AG7">
        <f t="shared" si="0"/>
        <v>2.0546060000000002</v>
      </c>
      <c r="AH7">
        <f t="shared" si="1"/>
        <v>2.0098389999999999</v>
      </c>
    </row>
    <row r="8" spans="1:34">
      <c r="A8">
        <v>7</v>
      </c>
      <c r="B8">
        <v>60</v>
      </c>
      <c r="C8">
        <v>7.74</v>
      </c>
      <c r="D8">
        <v>6.6550000000000002</v>
      </c>
      <c r="E8">
        <v>7.87</v>
      </c>
      <c r="F8">
        <v>8.0399999999999991</v>
      </c>
      <c r="G8">
        <v>6.23</v>
      </c>
      <c r="H8">
        <v>7.66</v>
      </c>
      <c r="I8">
        <v>22.305</v>
      </c>
      <c r="J8">
        <v>22.18</v>
      </c>
      <c r="K8">
        <v>35.96</v>
      </c>
      <c r="L8">
        <v>4.9550000000000001</v>
      </c>
      <c r="M8">
        <v>5.71</v>
      </c>
      <c r="N8">
        <v>6.47</v>
      </c>
      <c r="O8">
        <v>4.7699999999999996</v>
      </c>
      <c r="P8">
        <v>5.74</v>
      </c>
      <c r="Q8">
        <v>6.48</v>
      </c>
      <c r="R8">
        <v>17.234999999999999</v>
      </c>
      <c r="S8">
        <v>17.355</v>
      </c>
      <c r="T8">
        <v>27.96</v>
      </c>
      <c r="U8">
        <v>22.265000000000001</v>
      </c>
      <c r="V8">
        <v>21.93</v>
      </c>
      <c r="W8">
        <v>16.989999999999998</v>
      </c>
      <c r="X8">
        <v>17.135000000000002</v>
      </c>
      <c r="Y8">
        <v>2102.2020000000002</v>
      </c>
      <c r="Z8">
        <v>2098.4319999999998</v>
      </c>
      <c r="AA8">
        <v>2090.4209999999998</v>
      </c>
      <c r="AB8">
        <v>2066.8589999999999</v>
      </c>
      <c r="AC8">
        <v>1635.674</v>
      </c>
      <c r="AD8">
        <v>1601.2739999999999</v>
      </c>
      <c r="AE8">
        <v>1624.364</v>
      </c>
      <c r="AF8">
        <v>1614.9390000000001</v>
      </c>
      <c r="AG8">
        <f t="shared" si="0"/>
        <v>2.1022020000000001</v>
      </c>
      <c r="AH8">
        <f t="shared" si="1"/>
        <v>2.0984319999999999</v>
      </c>
    </row>
    <row r="9" spans="1:34">
      <c r="A9">
        <v>8</v>
      </c>
      <c r="B9">
        <v>71</v>
      </c>
      <c r="C9">
        <v>8.5</v>
      </c>
      <c r="D9">
        <v>7.0449999999999999</v>
      </c>
      <c r="E9">
        <v>7.4550000000000001</v>
      </c>
      <c r="F9">
        <v>8.17</v>
      </c>
      <c r="G9">
        <v>6.5</v>
      </c>
      <c r="H9">
        <v>7.7750000000000004</v>
      </c>
      <c r="I9">
        <v>23.535</v>
      </c>
      <c r="J9">
        <v>22.5</v>
      </c>
      <c r="K9">
        <v>37</v>
      </c>
      <c r="L9">
        <v>4.79</v>
      </c>
      <c r="M9">
        <v>5.53</v>
      </c>
      <c r="N9">
        <v>6.915</v>
      </c>
      <c r="O9">
        <v>4.9800000000000004</v>
      </c>
      <c r="P9">
        <v>5.4450000000000003</v>
      </c>
      <c r="Q9">
        <v>6.8650000000000002</v>
      </c>
      <c r="R9">
        <v>17.445</v>
      </c>
      <c r="S9">
        <v>17.54</v>
      </c>
      <c r="T9">
        <v>29.33</v>
      </c>
      <c r="U9">
        <v>23</v>
      </c>
      <c r="V9">
        <v>22.445</v>
      </c>
      <c r="W9">
        <v>17.29</v>
      </c>
      <c r="X9">
        <v>17.234999999999999</v>
      </c>
      <c r="Y9">
        <v>2218.127</v>
      </c>
      <c r="Z9">
        <v>2167.7040000000002</v>
      </c>
      <c r="AA9">
        <v>2120.58</v>
      </c>
      <c r="AB9">
        <v>2115.3960000000002</v>
      </c>
      <c r="AC9">
        <v>1653.11</v>
      </c>
      <c r="AD9">
        <v>1629.548</v>
      </c>
      <c r="AE9">
        <v>1644.1559999999999</v>
      </c>
      <c r="AF9">
        <v>1624.364</v>
      </c>
      <c r="AG9">
        <f t="shared" si="0"/>
        <v>2.218127</v>
      </c>
      <c r="AH9">
        <f t="shared" si="1"/>
        <v>2.1677040000000001</v>
      </c>
    </row>
    <row r="10" spans="1:34">
      <c r="A10">
        <v>9</v>
      </c>
      <c r="B10">
        <v>76</v>
      </c>
      <c r="C10">
        <v>9.4450000000000003</v>
      </c>
      <c r="D10">
        <v>7.0750000000000002</v>
      </c>
      <c r="E10">
        <v>7.7050000000000001</v>
      </c>
      <c r="F10">
        <v>8.7750000000000004</v>
      </c>
      <c r="G10">
        <v>6.83</v>
      </c>
      <c r="H10">
        <v>7.7249999999999996</v>
      </c>
      <c r="I10">
        <v>24.125</v>
      </c>
      <c r="J10">
        <v>21.875</v>
      </c>
      <c r="K10">
        <v>36.58</v>
      </c>
      <c r="L10">
        <v>5.33</v>
      </c>
      <c r="M10">
        <v>6.0149999999999997</v>
      </c>
      <c r="N10">
        <v>6.625</v>
      </c>
      <c r="O10">
        <v>5.625</v>
      </c>
      <c r="P10">
        <v>6.2249999999999996</v>
      </c>
      <c r="Q10">
        <v>6.71</v>
      </c>
      <c r="R10">
        <v>17.829999999999998</v>
      </c>
      <c r="S10">
        <v>15.195</v>
      </c>
      <c r="T10">
        <v>27.675000000000001</v>
      </c>
      <c r="U10">
        <v>24.225000000000001</v>
      </c>
      <c r="V10">
        <v>23.33</v>
      </c>
      <c r="W10">
        <v>18.559999999999999</v>
      </c>
      <c r="X10">
        <v>17.97</v>
      </c>
      <c r="Y10">
        <v>2273.7330000000002</v>
      </c>
      <c r="Z10">
        <v>2283.1579999999999</v>
      </c>
      <c r="AA10">
        <v>2061.6750000000002</v>
      </c>
      <c r="AB10">
        <v>2198.806</v>
      </c>
      <c r="AC10">
        <v>1432.098</v>
      </c>
      <c r="AD10">
        <v>1749.2429999999999</v>
      </c>
      <c r="AE10">
        <v>1680.442</v>
      </c>
      <c r="AF10">
        <v>1693.6369999999999</v>
      </c>
      <c r="AG10">
        <f t="shared" si="0"/>
        <v>2.273733</v>
      </c>
      <c r="AH10">
        <f t="shared" si="1"/>
        <v>2.2831579999999998</v>
      </c>
    </row>
    <row r="11" spans="1:34">
      <c r="A11">
        <v>10</v>
      </c>
      <c r="B11">
        <v>79</v>
      </c>
      <c r="C11">
        <v>8.23</v>
      </c>
      <c r="D11">
        <v>7.24</v>
      </c>
      <c r="E11">
        <v>0</v>
      </c>
      <c r="F11">
        <v>8.4049999999999994</v>
      </c>
      <c r="G11">
        <v>7.1749999999999998</v>
      </c>
      <c r="H11">
        <v>7.69</v>
      </c>
      <c r="I11">
        <v>0</v>
      </c>
      <c r="J11">
        <v>22.87</v>
      </c>
      <c r="K11">
        <v>0</v>
      </c>
      <c r="L11">
        <v>5.0999999999999996</v>
      </c>
      <c r="M11">
        <v>6.06</v>
      </c>
      <c r="N11">
        <v>6.63</v>
      </c>
      <c r="O11">
        <v>5.2649999999999997</v>
      </c>
      <c r="P11">
        <v>5.7450000000000001</v>
      </c>
      <c r="Q11">
        <v>6.625</v>
      </c>
      <c r="R11">
        <v>16.96</v>
      </c>
      <c r="S11">
        <v>17.55</v>
      </c>
      <c r="T11">
        <v>25.425000000000001</v>
      </c>
      <c r="U11">
        <v>15.47</v>
      </c>
      <c r="V11">
        <v>23.27</v>
      </c>
      <c r="W11">
        <v>17.635000000000002</v>
      </c>
      <c r="X11">
        <v>17.79</v>
      </c>
      <c r="Y11">
        <v>0</v>
      </c>
      <c r="Z11">
        <v>1458.0170000000001</v>
      </c>
      <c r="AA11">
        <v>2155.4520000000002</v>
      </c>
      <c r="AB11">
        <v>2193.1509999999998</v>
      </c>
      <c r="AC11">
        <v>1654.0519999999999</v>
      </c>
      <c r="AD11">
        <v>1662.0630000000001</v>
      </c>
      <c r="AE11">
        <v>1598.4459999999999</v>
      </c>
      <c r="AF11">
        <v>1676.672</v>
      </c>
      <c r="AG11">
        <f t="shared" si="0"/>
        <v>0</v>
      </c>
      <c r="AH11">
        <f t="shared" si="1"/>
        <v>1.4580170000000001</v>
      </c>
    </row>
    <row r="12" spans="1:34">
      <c r="A12">
        <v>11</v>
      </c>
      <c r="B12">
        <v>95</v>
      </c>
      <c r="C12">
        <v>8.4499999999999993</v>
      </c>
      <c r="D12">
        <v>7.11</v>
      </c>
      <c r="E12">
        <v>7.3</v>
      </c>
      <c r="F12">
        <v>8.59</v>
      </c>
      <c r="G12">
        <v>7.23</v>
      </c>
      <c r="H12">
        <v>7.9349999999999996</v>
      </c>
      <c r="I12">
        <v>23.73</v>
      </c>
      <c r="J12">
        <v>22.954999999999998</v>
      </c>
      <c r="K12">
        <v>35.645000000000003</v>
      </c>
      <c r="L12">
        <v>5.47</v>
      </c>
      <c r="M12">
        <v>6.0350000000000001</v>
      </c>
      <c r="N12">
        <v>6.67</v>
      </c>
      <c r="O12">
        <v>5.415</v>
      </c>
      <c r="P12">
        <v>6.11</v>
      </c>
      <c r="Q12">
        <v>6.8949999999999996</v>
      </c>
      <c r="R12">
        <v>17.234999999999999</v>
      </c>
      <c r="S12">
        <v>17.21</v>
      </c>
      <c r="T12">
        <v>25.895</v>
      </c>
      <c r="U12">
        <v>22.86</v>
      </c>
      <c r="V12">
        <v>23.754999999999999</v>
      </c>
      <c r="W12">
        <v>18.420000000000002</v>
      </c>
      <c r="X12">
        <v>18.175000000000001</v>
      </c>
      <c r="Y12">
        <v>2236.5050000000001</v>
      </c>
      <c r="Z12">
        <v>2154.509</v>
      </c>
      <c r="AA12">
        <v>2163.4630000000002</v>
      </c>
      <c r="AB12">
        <v>2238.8609999999999</v>
      </c>
      <c r="AC12">
        <v>1622.008</v>
      </c>
      <c r="AD12">
        <v>1736.048</v>
      </c>
      <c r="AE12">
        <v>1624.364</v>
      </c>
      <c r="AF12">
        <v>1712.9570000000001</v>
      </c>
      <c r="AG12">
        <f t="shared" si="0"/>
        <v>2.2365050000000002</v>
      </c>
      <c r="AH12">
        <f t="shared" si="1"/>
        <v>2.154509</v>
      </c>
    </row>
    <row r="13" spans="1:34">
      <c r="A13">
        <v>12</v>
      </c>
      <c r="B13">
        <v>116</v>
      </c>
      <c r="C13">
        <v>8.6300000000000008</v>
      </c>
      <c r="D13">
        <v>6.3849999999999998</v>
      </c>
      <c r="E13">
        <v>7.15</v>
      </c>
      <c r="F13">
        <v>8.2899999999999991</v>
      </c>
      <c r="G13">
        <v>6.585</v>
      </c>
      <c r="H13">
        <v>7.915</v>
      </c>
      <c r="I13">
        <v>22.71</v>
      </c>
      <c r="J13">
        <v>21.95</v>
      </c>
      <c r="K13">
        <v>31.75</v>
      </c>
      <c r="L13">
        <v>5.27</v>
      </c>
      <c r="M13">
        <v>5.9249999999999998</v>
      </c>
      <c r="N13">
        <v>6.5350000000000001</v>
      </c>
      <c r="O13">
        <v>5.09</v>
      </c>
      <c r="P13">
        <v>6.1050000000000004</v>
      </c>
      <c r="Q13">
        <v>6.43</v>
      </c>
      <c r="R13">
        <v>17.43</v>
      </c>
      <c r="S13">
        <v>17.190000000000001</v>
      </c>
      <c r="T13">
        <v>25.425000000000001</v>
      </c>
      <c r="U13">
        <v>22.164999999999999</v>
      </c>
      <c r="V13">
        <v>22.79</v>
      </c>
      <c r="W13">
        <v>17.625</v>
      </c>
      <c r="X13">
        <v>17.73</v>
      </c>
      <c r="Y13">
        <v>2140.3719999999998</v>
      </c>
      <c r="Z13">
        <v>2089.0070000000001</v>
      </c>
      <c r="AA13">
        <v>2068.7440000000001</v>
      </c>
      <c r="AB13">
        <v>2147.9119999999998</v>
      </c>
      <c r="AC13">
        <v>1620.123</v>
      </c>
      <c r="AD13">
        <v>1661.1210000000001</v>
      </c>
      <c r="AE13">
        <v>1642.7429999999999</v>
      </c>
      <c r="AF13">
        <v>1671.0170000000001</v>
      </c>
      <c r="AG13">
        <f t="shared" si="0"/>
        <v>2.1403719999999997</v>
      </c>
      <c r="AH13">
        <f t="shared" si="1"/>
        <v>2.0890070000000001</v>
      </c>
    </row>
    <row r="14" spans="1:34">
      <c r="A14">
        <v>13</v>
      </c>
      <c r="B14">
        <v>130</v>
      </c>
      <c r="C14">
        <v>9.06</v>
      </c>
      <c r="D14">
        <v>6.57</v>
      </c>
      <c r="E14">
        <v>8.1</v>
      </c>
      <c r="F14">
        <v>8.8049999999999997</v>
      </c>
      <c r="G14">
        <v>6.9649999999999999</v>
      </c>
      <c r="H14">
        <v>8.2750000000000004</v>
      </c>
      <c r="I14">
        <v>23.395</v>
      </c>
      <c r="J14">
        <v>23.88</v>
      </c>
      <c r="K14">
        <v>34.46</v>
      </c>
      <c r="L14">
        <v>6.5250000000000004</v>
      </c>
      <c r="M14">
        <v>7.42</v>
      </c>
      <c r="N14">
        <v>6.71</v>
      </c>
      <c r="O14">
        <v>7.04</v>
      </c>
      <c r="P14">
        <v>6.1449999999999996</v>
      </c>
      <c r="Q14">
        <v>6.95</v>
      </c>
      <c r="R14">
        <v>19.95</v>
      </c>
      <c r="S14">
        <v>21.145</v>
      </c>
      <c r="T14">
        <v>30.695</v>
      </c>
      <c r="U14">
        <v>23.73</v>
      </c>
      <c r="V14">
        <v>24.045000000000002</v>
      </c>
      <c r="W14">
        <v>20.135000000000002</v>
      </c>
      <c r="X14">
        <v>20.655000000000001</v>
      </c>
      <c r="Y14">
        <v>2204.9319999999998</v>
      </c>
      <c r="Z14">
        <v>2236.5050000000001</v>
      </c>
      <c r="AA14">
        <v>2250.6419999999998</v>
      </c>
      <c r="AB14">
        <v>2266.1930000000002</v>
      </c>
      <c r="AC14">
        <v>1992.874</v>
      </c>
      <c r="AD14">
        <v>1897.683</v>
      </c>
      <c r="AE14">
        <v>1880.248</v>
      </c>
      <c r="AF14">
        <v>1946.692</v>
      </c>
      <c r="AG14">
        <f t="shared" si="0"/>
        <v>2.2049319999999999</v>
      </c>
      <c r="AH14">
        <f t="shared" si="1"/>
        <v>2.2365050000000002</v>
      </c>
    </row>
    <row r="15" spans="1:34">
      <c r="A15" t="s">
        <v>39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NERY SOFÍA HUERTA PACHECO</dc:creator>
  <cp:lastModifiedBy>Edson Cortés</cp:lastModifiedBy>
  <dcterms:created xsi:type="dcterms:W3CDTF">2026-02-06T18:45:06Z</dcterms:created>
  <dcterms:modified xsi:type="dcterms:W3CDTF">2026-03-06T16:58:54Z</dcterms:modified>
</cp:coreProperties>
</file>